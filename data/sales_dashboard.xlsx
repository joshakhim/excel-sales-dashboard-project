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REAL TIME\Documents\"/>
    </mc:Choice>
  </mc:AlternateContent>
  <xr:revisionPtr revIDLastSave="0" documentId="13_ncr:1_{FA0861E3-7946-43FE-93CF-3B7F2B553124}" xr6:coauthVersionLast="36" xr6:coauthVersionMax="36" xr10:uidLastSave="{00000000-0000-0000-0000-000000000000}"/>
  <bookViews>
    <workbookView xWindow="0" yWindow="0" windowWidth="20490" windowHeight="7545" activeTab="3" xr2:uid="{B6317E9E-9F74-4B65-830A-30B065A07F75}"/>
  </bookViews>
  <sheets>
    <sheet name="Sales_Data" sheetId="1" r:id="rId1"/>
    <sheet name="Salesperson_Bonus" sheetId="2" r:id="rId2"/>
    <sheet name="Pivot_Table" sheetId="4" r:id="rId3"/>
    <sheet name="Dashboard" sheetId="5" r:id="rId4"/>
  </sheets>
  <definedNames>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 i="1" l="1"/>
  <c r="J4" i="1"/>
  <c r="J5" i="1"/>
  <c r="J6" i="1"/>
  <c r="J7" i="1"/>
  <c r="J8" i="1"/>
  <c r="J9" i="1"/>
  <c r="J10" i="1"/>
  <c r="J11" i="1"/>
  <c r="J2" i="1"/>
  <c r="H2" i="1"/>
  <c r="I2" i="1" s="1"/>
  <c r="H3" i="1"/>
  <c r="I3" i="1" s="1"/>
  <c r="H4" i="1"/>
  <c r="I4" i="1" s="1"/>
  <c r="H5" i="1"/>
  <c r="I5" i="1" s="1"/>
  <c r="H6" i="1"/>
  <c r="I6" i="1" s="1"/>
  <c r="H7" i="1"/>
  <c r="I7" i="1" s="1"/>
  <c r="H8" i="1"/>
  <c r="I8" i="1" s="1"/>
  <c r="H9" i="1"/>
  <c r="I9" i="1" s="1"/>
  <c r="H10" i="1"/>
  <c r="I10" i="1" s="1"/>
  <c r="H11" i="1"/>
  <c r="I11" i="1" s="1"/>
</calcChain>
</file>

<file path=xl/sharedStrings.xml><?xml version="1.0" encoding="utf-8"?>
<sst xmlns="http://schemas.openxmlformats.org/spreadsheetml/2006/main" count="88" uniqueCount="45">
  <si>
    <t>Order_ID</t>
  </si>
  <si>
    <t>Customer</t>
  </si>
  <si>
    <t>Region</t>
  </si>
  <si>
    <t>Product</t>
  </si>
  <si>
    <t>Units</t>
  </si>
  <si>
    <t>Unit_price</t>
  </si>
  <si>
    <t>Salesperson</t>
  </si>
  <si>
    <t>Sarah</t>
  </si>
  <si>
    <t>John</t>
  </si>
  <si>
    <t>Mike</t>
  </si>
  <si>
    <t>Laptop</t>
  </si>
  <si>
    <t>Mouse</t>
  </si>
  <si>
    <t>Keyboard</t>
  </si>
  <si>
    <t>Monitor</t>
  </si>
  <si>
    <t>West</t>
  </si>
  <si>
    <t>East</t>
  </si>
  <si>
    <t>North</t>
  </si>
  <si>
    <t>South</t>
  </si>
  <si>
    <t>David</t>
  </si>
  <si>
    <t>Grace</t>
  </si>
  <si>
    <t>Daniel</t>
  </si>
  <si>
    <t>Esther</t>
  </si>
  <si>
    <t>James</t>
  </si>
  <si>
    <t>Ruth</t>
  </si>
  <si>
    <t>Samuel</t>
  </si>
  <si>
    <t>Joy</t>
  </si>
  <si>
    <t>Michael</t>
  </si>
  <si>
    <t>Peace</t>
  </si>
  <si>
    <t>Total_Sales</t>
  </si>
  <si>
    <t xml:space="preserve"> </t>
  </si>
  <si>
    <t>Performance</t>
  </si>
  <si>
    <t>Salesperson_Bonus</t>
  </si>
  <si>
    <t>Bonus</t>
  </si>
  <si>
    <t>Row Labels</t>
  </si>
  <si>
    <t>Grand Total</t>
  </si>
  <si>
    <t>Sum of Total_Sales</t>
  </si>
  <si>
    <t xml:space="preserve">  </t>
  </si>
  <si>
    <t>Regional Performance</t>
  </si>
  <si>
    <t>Sales Dashboard</t>
  </si>
  <si>
    <t>Count of Units</t>
  </si>
  <si>
    <t>Total Revenue 2510000</t>
  </si>
  <si>
    <t>Average Transaction 251000</t>
  </si>
  <si>
    <t>Highest Transaction 900000</t>
  </si>
  <si>
    <t>Unit Count 27</t>
  </si>
  <si>
    <t>Transaction Count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</si>
</sst>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3" x14ac:knownFonts="1">
    <font>
      <sz val="11"/>
      <color theme="1"/>
      <name val="Calibri"/>
      <family val="2"/>
      <scheme val="minor"/>
    </font>
    <font>
      <b/>
      <sz val="20"/>
      <color theme="0"/>
      <name val="Calibri"/>
      <family val="2"/>
      <scheme val="minor"/>
    </font>
    <font>
      <b/>
      <sz val="48"/>
      <color theme="0"/>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0" fontId="0" fillId="0" borderId="0" xfId="0" applyNumberFormat="1"/>
    <xf numFmtId="0" fontId="0" fillId="2" borderId="0" xfId="0" applyFill="1"/>
    <xf numFmtId="0" fontId="0" fillId="2" borderId="0" xfId="0" applyFill="1" applyAlignment="1">
      <alignment vertical="center"/>
    </xf>
    <xf numFmtId="0" fontId="0" fillId="2" borderId="0" xfId="0" applyFill="1" applyAlignment="1">
      <alignment horizontal="center"/>
    </xf>
    <xf numFmtId="0" fontId="1" fillId="2" borderId="0" xfId="0" applyFont="1" applyFill="1"/>
    <xf numFmtId="0" fontId="2"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4">
    <dxf>
      <numFmt numFmtId="164" formatCode="_(* #,##0_);_(* \(#,##0\);_(* &quot;-&quot;??_);_(@_)"/>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[Sales_Data.xlsx]Pivot_Table!PivotTable1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Product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Pivot_Table!$B$1</c:f>
              <c:strCache>
                <c:ptCount val="1"/>
                <c:pt idx="0">
                  <c:v>Total</c:v>
                </c:pt>
              </c:strCache>
            </c:strRef>
          </c:tx>
          <c:spPr>
            <a:solidFill>
              <a:schemeClr val="accent1"/>
            </a:solidFill>
            <a:ln>
              <a:noFill/>
            </a:ln>
            <a:effectLst/>
          </c:spPr>
          <c:invertIfNegative val="0"/>
          <c:cat>
            <c:strRef>
              <c:f>Pivot_Table!$A$2:$A$6</c:f>
              <c:strCache>
                <c:ptCount val="4"/>
                <c:pt idx="0">
                  <c:v>Laptop</c:v>
                </c:pt>
                <c:pt idx="1">
                  <c:v>Monitor</c:v>
                </c:pt>
                <c:pt idx="2">
                  <c:v>Mouse</c:v>
                </c:pt>
                <c:pt idx="3">
                  <c:v>Keyboard</c:v>
                </c:pt>
              </c:strCache>
            </c:strRef>
          </c:cat>
          <c:val>
            <c:numRef>
              <c:f>Pivot_Table!$B$2:$B$6</c:f>
              <c:numCache>
                <c:formatCode>_(* #,##0_);_(* \(#,##0\);_(* "-"??_);_(@_)</c:formatCode>
                <c:ptCount val="4"/>
                <c:pt idx="0">
                  <c:v>1800000</c:v>
                </c:pt>
                <c:pt idx="1">
                  <c:v>360000</c:v>
                </c:pt>
                <c:pt idx="2">
                  <c:v>225000</c:v>
                </c:pt>
                <c:pt idx="3">
                  <c:v>125000</c:v>
                </c:pt>
              </c:numCache>
            </c:numRef>
          </c:val>
          <c:extLst>
            <c:ext xmlns:c16="http://schemas.microsoft.com/office/drawing/2014/chart" uri="{C3380CC4-5D6E-409C-BE32-E72D297353CC}">
              <c16:uniqueId val="{00000000-D22A-4746-A680-E64AE79D75E0}"/>
            </c:ext>
          </c:extLst>
        </c:ser>
        <c:dLbls>
          <c:showLegendKey val="0"/>
          <c:showVal val="0"/>
          <c:showCatName val="0"/>
          <c:showSerName val="0"/>
          <c:showPercent val="0"/>
          <c:showBubbleSize val="0"/>
        </c:dLbls>
        <c:gapWidth val="219"/>
        <c:overlap val="-27"/>
        <c:axId val="502984624"/>
        <c:axId val="600653872"/>
      </c:barChart>
      <c:catAx>
        <c:axId val="502984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53872"/>
        <c:crosses val="autoZero"/>
        <c:auto val="1"/>
        <c:lblAlgn val="ctr"/>
        <c:lblOffset val="100"/>
        <c:noMultiLvlLbl val="0"/>
      </c:catAx>
      <c:valAx>
        <c:axId val="600653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98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Pivot_Table!$B$20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76E-48A2-9347-2F46AB48C05A}"/>
              </c:ext>
            </c:extLst>
          </c:dPt>
          <c:dPt>
            <c:idx val="1"/>
            <c:bubble3D val="0"/>
            <c:spPr>
              <a:solidFill>
                <a:schemeClr val="accent2"/>
              </a:solidFill>
              <a:ln>
                <a:noFill/>
              </a:ln>
              <a:effectLst/>
            </c:spPr>
            <c:extLst>
              <c:ext xmlns:c16="http://schemas.microsoft.com/office/drawing/2014/chart" uri="{C3380CC4-5D6E-409C-BE32-E72D297353CC}">
                <c16:uniqueId val="{00000003-676E-48A2-9347-2F46AB48C05A}"/>
              </c:ext>
            </c:extLst>
          </c:dPt>
          <c:dPt>
            <c:idx val="2"/>
            <c:bubble3D val="0"/>
            <c:spPr>
              <a:solidFill>
                <a:schemeClr val="accent3"/>
              </a:solidFill>
              <a:ln>
                <a:noFill/>
              </a:ln>
              <a:effectLst/>
            </c:spPr>
            <c:extLst>
              <c:ext xmlns:c16="http://schemas.microsoft.com/office/drawing/2014/chart" uri="{C3380CC4-5D6E-409C-BE32-E72D297353CC}">
                <c16:uniqueId val="{00000005-676E-48A2-9347-2F46AB48C05A}"/>
              </c:ext>
            </c:extLst>
          </c:dPt>
          <c:dPt>
            <c:idx val="3"/>
            <c:bubble3D val="0"/>
            <c:spPr>
              <a:solidFill>
                <a:schemeClr val="accent4"/>
              </a:solidFill>
              <a:ln>
                <a:noFill/>
              </a:ln>
              <a:effectLst/>
            </c:spPr>
            <c:extLst>
              <c:ext xmlns:c16="http://schemas.microsoft.com/office/drawing/2014/chart" uri="{C3380CC4-5D6E-409C-BE32-E72D297353CC}">
                <c16:uniqueId val="{00000007-676E-48A2-9347-2F46AB48C05A}"/>
              </c:ext>
            </c:extLst>
          </c:dPt>
          <c:cat>
            <c:strRef>
              <c:f>Pivot_Table!$A$21:$A$25</c:f>
              <c:strCache>
                <c:ptCount val="4"/>
                <c:pt idx="0">
                  <c:v>West</c:v>
                </c:pt>
                <c:pt idx="1">
                  <c:v>South</c:v>
                </c:pt>
                <c:pt idx="2">
                  <c:v>East</c:v>
                </c:pt>
                <c:pt idx="3">
                  <c:v>North</c:v>
                </c:pt>
              </c:strCache>
            </c:strRef>
          </c:cat>
          <c:val>
            <c:numRef>
              <c:f>Pivot_Table!$B$21:$B$25</c:f>
              <c:numCache>
                <c:formatCode>0.00%</c:formatCode>
                <c:ptCount val="4"/>
                <c:pt idx="0">
                  <c:v>0.58565737051792832</c:v>
                </c:pt>
                <c:pt idx="1">
                  <c:v>0.27490039840637448</c:v>
                </c:pt>
                <c:pt idx="2">
                  <c:v>8.9641434262948211E-2</c:v>
                </c:pt>
                <c:pt idx="3">
                  <c:v>4.9800796812749001E-2</c:v>
                </c:pt>
              </c:numCache>
            </c:numRef>
          </c:val>
          <c:extLst>
            <c:ext xmlns:c16="http://schemas.microsoft.com/office/drawing/2014/chart" uri="{C3380CC4-5D6E-409C-BE32-E72D297353CC}">
              <c16:uniqueId val="{00000000-7456-4A0C-BA0E-A3821C66CD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Pivot_Table!$B$36</c:f>
              <c:strCache>
                <c:ptCount val="1"/>
                <c:pt idx="0">
                  <c:v>Total</c:v>
                </c:pt>
              </c:strCache>
            </c:strRef>
          </c:tx>
          <c:spPr>
            <a:solidFill>
              <a:schemeClr val="accent1"/>
            </a:solidFill>
            <a:ln>
              <a:noFill/>
            </a:ln>
            <a:effectLst/>
          </c:spPr>
          <c:invertIfNegative val="0"/>
          <c:cat>
            <c:strRef>
              <c:f>Pivot_Table!$A$37:$A$40</c:f>
              <c:strCache>
                <c:ptCount val="3"/>
                <c:pt idx="0">
                  <c:v>Sarah</c:v>
                </c:pt>
                <c:pt idx="1">
                  <c:v>John</c:v>
                </c:pt>
                <c:pt idx="2">
                  <c:v>Mike</c:v>
                </c:pt>
              </c:strCache>
            </c:strRef>
          </c:cat>
          <c:val>
            <c:numRef>
              <c:f>Pivot_Table!$B$37:$B$40</c:f>
              <c:numCache>
                <c:formatCode>General</c:formatCode>
                <c:ptCount val="3"/>
                <c:pt idx="0">
                  <c:v>1275000</c:v>
                </c:pt>
                <c:pt idx="1">
                  <c:v>975000</c:v>
                </c:pt>
                <c:pt idx="2">
                  <c:v>260000</c:v>
                </c:pt>
              </c:numCache>
            </c:numRef>
          </c:val>
          <c:extLst>
            <c:ext xmlns:c16="http://schemas.microsoft.com/office/drawing/2014/chart" uri="{C3380CC4-5D6E-409C-BE32-E72D297353CC}">
              <c16:uniqueId val="{00000000-6F26-4302-9792-ED164FA53530}"/>
            </c:ext>
          </c:extLst>
        </c:ser>
        <c:dLbls>
          <c:showLegendKey val="0"/>
          <c:showVal val="0"/>
          <c:showCatName val="0"/>
          <c:showSerName val="0"/>
          <c:showPercent val="0"/>
          <c:showBubbleSize val="0"/>
        </c:dLbls>
        <c:gapWidth val="182"/>
        <c:axId val="389252367"/>
        <c:axId val="537704719"/>
      </c:barChart>
      <c:catAx>
        <c:axId val="38925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04719"/>
        <c:crosses val="autoZero"/>
        <c:auto val="1"/>
        <c:lblAlgn val="ctr"/>
        <c:lblOffset val="100"/>
        <c:noMultiLvlLbl val="0"/>
      </c:catAx>
      <c:valAx>
        <c:axId val="5377047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5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1E-4660-B681-78A033AF5C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1E-4660-B681-78A033AF5C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1E-4660-B681-78A033AF5CC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Pivot_Table!$A$51:$A$54</c:f>
              <c:strCache>
                <c:ptCount val="3"/>
                <c:pt idx="0">
                  <c:v>John</c:v>
                </c:pt>
                <c:pt idx="1">
                  <c:v>Mike</c:v>
                </c:pt>
                <c:pt idx="2">
                  <c:v>Sarah</c:v>
                </c:pt>
              </c:strCache>
            </c:strRef>
          </c:cat>
          <c:val>
            <c:numRef>
              <c:f>Pivot_Table!$B$51:$B$54</c:f>
              <c:numCache>
                <c:formatCode>General</c:formatCode>
                <c:ptCount val="3"/>
                <c:pt idx="0">
                  <c:v>3</c:v>
                </c:pt>
                <c:pt idx="1">
                  <c:v>3</c:v>
                </c:pt>
                <c:pt idx="2">
                  <c:v>4</c:v>
                </c:pt>
              </c:numCache>
            </c:numRef>
          </c:val>
          <c:extLst>
            <c:ext xmlns:c16="http://schemas.microsoft.com/office/drawing/2014/chart" uri="{C3380CC4-5D6E-409C-BE32-E72D297353CC}">
              <c16:uniqueId val="{00000000-1CB0-4274-B1E1-700D2D0CFE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Pivot_Table!$B$20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E1A-4764-80C6-22FB31A7D4B6}"/>
              </c:ext>
            </c:extLst>
          </c:dPt>
          <c:dPt>
            <c:idx val="1"/>
            <c:bubble3D val="0"/>
            <c:spPr>
              <a:solidFill>
                <a:schemeClr val="accent2"/>
              </a:solidFill>
              <a:ln>
                <a:noFill/>
              </a:ln>
              <a:effectLst/>
            </c:spPr>
            <c:extLst>
              <c:ext xmlns:c16="http://schemas.microsoft.com/office/drawing/2014/chart" uri="{C3380CC4-5D6E-409C-BE32-E72D297353CC}">
                <c16:uniqueId val="{00000003-7E1A-4764-80C6-22FB31A7D4B6}"/>
              </c:ext>
            </c:extLst>
          </c:dPt>
          <c:dPt>
            <c:idx val="2"/>
            <c:bubble3D val="0"/>
            <c:spPr>
              <a:solidFill>
                <a:schemeClr val="accent3"/>
              </a:solidFill>
              <a:ln>
                <a:noFill/>
              </a:ln>
              <a:effectLst/>
            </c:spPr>
            <c:extLst>
              <c:ext xmlns:c16="http://schemas.microsoft.com/office/drawing/2014/chart" uri="{C3380CC4-5D6E-409C-BE32-E72D297353CC}">
                <c16:uniqueId val="{00000005-7E1A-4764-80C6-22FB31A7D4B6}"/>
              </c:ext>
            </c:extLst>
          </c:dPt>
          <c:dPt>
            <c:idx val="3"/>
            <c:bubble3D val="0"/>
            <c:spPr>
              <a:solidFill>
                <a:schemeClr val="accent4"/>
              </a:solidFill>
              <a:ln>
                <a:noFill/>
              </a:ln>
              <a:effectLst/>
            </c:spPr>
            <c:extLst>
              <c:ext xmlns:c16="http://schemas.microsoft.com/office/drawing/2014/chart" uri="{C3380CC4-5D6E-409C-BE32-E72D297353CC}">
                <c16:uniqueId val="{00000007-7E1A-4764-80C6-22FB31A7D4B6}"/>
              </c:ext>
            </c:extLst>
          </c:dPt>
          <c:cat>
            <c:strRef>
              <c:f>Pivot_Table!$A$21:$A$25</c:f>
              <c:strCache>
                <c:ptCount val="4"/>
                <c:pt idx="0">
                  <c:v>West</c:v>
                </c:pt>
                <c:pt idx="1">
                  <c:v>South</c:v>
                </c:pt>
                <c:pt idx="2">
                  <c:v>East</c:v>
                </c:pt>
                <c:pt idx="3">
                  <c:v>North</c:v>
                </c:pt>
              </c:strCache>
            </c:strRef>
          </c:cat>
          <c:val>
            <c:numRef>
              <c:f>Pivot_Table!$B$21:$B$25</c:f>
              <c:numCache>
                <c:formatCode>0.00%</c:formatCode>
                <c:ptCount val="4"/>
                <c:pt idx="0">
                  <c:v>0.58565737051792832</c:v>
                </c:pt>
                <c:pt idx="1">
                  <c:v>0.27490039840637448</c:v>
                </c:pt>
                <c:pt idx="2">
                  <c:v>8.9641434262948211E-2</c:v>
                </c:pt>
                <c:pt idx="3">
                  <c:v>4.9800796812749001E-2</c:v>
                </c:pt>
              </c:numCache>
            </c:numRef>
          </c:val>
          <c:extLst>
            <c:ext xmlns:c16="http://schemas.microsoft.com/office/drawing/2014/chart" uri="{C3380CC4-5D6E-409C-BE32-E72D297353CC}">
              <c16:uniqueId val="{00000008-7E1A-4764-80C6-22FB31A7D4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EA24FF2-B6FD-4081-8616-C043CB1C2537}" type="CATEGORYNAME">
                  <a:rPr lang="en-US"/>
                  <a:pPr>
                    <a:defRPr/>
                  </a:pPr>
                  <a:t>[CATEGORY NAME]</a:t>
                </a:fld>
                <a:r>
                  <a:rPr lang="en-US" baseline="0"/>
                  <a:t>
</a:t>
                </a:r>
                <a:fld id="{B9B33D0E-6543-43C4-BDEE-8A0E64D2F21F}"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BA77E32-A30F-43B1-BE6C-E02AF15CC4F7}" type="CATEGORYNAME">
                  <a:rPr lang="en-US"/>
                  <a:pPr>
                    <a:defRPr/>
                  </a:pPr>
                  <a:t>[CATEGORY NAME]</a:t>
                </a:fld>
                <a:r>
                  <a:rPr lang="en-US" baseline="0"/>
                  <a:t>
</a:t>
                </a:r>
                <a:fld id="{97164799-52D8-4E6A-AD62-E2C1B60CA26E}"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5A882F4-77FF-4925-8136-F3BE1597AFE8}" type="CATEGORYNAME">
                  <a:rPr lang="en-US"/>
                  <a:pPr>
                    <a:defRPr/>
                  </a:pPr>
                  <a:t>[CATEGORY NAME]</a:t>
                </a:fld>
                <a:r>
                  <a:rPr lang="en-US" baseline="0"/>
                  <a:t>
</a:t>
                </a:r>
                <a:fld id="{0DD527AC-AB8B-42D5-9B49-7AA12097A05A}"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Pivot_Table!$B$50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68-4DF5-960A-A9E501060A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68-4DF5-960A-A9E501060A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68-4DF5-960A-A9E501060ACC}"/>
              </c:ext>
            </c:extLst>
          </c:dPt>
          <c:dLbls>
            <c:dLbl>
              <c:idx val="0"/>
              <c:tx>
                <c:rich>
                  <a:bodyPr/>
                  <a:lstStyle/>
                  <a:p>
                    <a:fld id="{CEA24FF2-B6FD-4081-8616-C043CB1C2537}" type="CATEGORYNAME">
                      <a:rPr lang="en-US"/>
                      <a:pPr/>
                      <a:t>[CATEGORY NAME]</a:t>
                    </a:fld>
                    <a:r>
                      <a:rPr lang="en-US" baseline="0"/>
                      <a:t>
</a:t>
                    </a:r>
                    <a:fld id="{B9B33D0E-6543-43C4-BDEE-8A0E64D2F21F}" type="VALUE">
                      <a:rPr lang="en-US" baseline="0"/>
                      <a:pPr/>
                      <a:t>[VALUE]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968-4DF5-960A-A9E501060ACC}"/>
                </c:ext>
              </c:extLst>
            </c:dLbl>
            <c:dLbl>
              <c:idx val="1"/>
              <c:tx>
                <c:rich>
                  <a:bodyPr/>
                  <a:lstStyle/>
                  <a:p>
                    <a:fld id="{5BA77E32-A30F-43B1-BE6C-E02AF15CC4F7}" type="CATEGORYNAME">
                      <a:rPr lang="en-US"/>
                      <a:pPr/>
                      <a:t>[CATEGORY NAME]</a:t>
                    </a:fld>
                    <a:r>
                      <a:rPr lang="en-US" baseline="0"/>
                      <a:t>
</a:t>
                    </a:r>
                    <a:fld id="{97164799-52D8-4E6A-AD62-E2C1B60CA26E}" type="VALUE">
                      <a:rPr lang="en-US" baseline="0"/>
                      <a:pPr/>
                      <a:t>[VALUE]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968-4DF5-960A-A9E501060ACC}"/>
                </c:ext>
              </c:extLst>
            </c:dLbl>
            <c:dLbl>
              <c:idx val="2"/>
              <c:tx>
                <c:rich>
                  <a:bodyPr/>
                  <a:lstStyle/>
                  <a:p>
                    <a:fld id="{E5A882F4-77FF-4925-8136-F3BE1597AFE8}" type="CATEGORYNAME">
                      <a:rPr lang="en-US"/>
                      <a:pPr/>
                      <a:t>[CATEGORY NAME]</a:t>
                    </a:fld>
                    <a:r>
                      <a:rPr lang="en-US" baseline="0"/>
                      <a:t>
</a:t>
                    </a:r>
                    <a:fld id="{0DD527AC-AB8B-42D5-9B49-7AA12097A05A}" type="VALUE">
                      <a:rPr lang="en-US" baseline="0"/>
                      <a:pPr/>
                      <a:t>[VALUE]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968-4DF5-960A-A9E501060AC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Pivot_Table!$A$51:$A$54</c:f>
              <c:strCache>
                <c:ptCount val="3"/>
                <c:pt idx="0">
                  <c:v>John</c:v>
                </c:pt>
                <c:pt idx="1">
                  <c:v>Mike</c:v>
                </c:pt>
                <c:pt idx="2">
                  <c:v>Sarah</c:v>
                </c:pt>
              </c:strCache>
            </c:strRef>
          </c:cat>
          <c:val>
            <c:numRef>
              <c:f>Pivot_Table!$B$51:$B$54</c:f>
              <c:numCache>
                <c:formatCode>General</c:formatCode>
                <c:ptCount val="3"/>
                <c:pt idx="0">
                  <c:v>3</c:v>
                </c:pt>
                <c:pt idx="1">
                  <c:v>3</c:v>
                </c:pt>
                <c:pt idx="2">
                  <c:v>4</c:v>
                </c:pt>
              </c:numCache>
            </c:numRef>
          </c:val>
          <c:extLst>
            <c:ext xmlns:c16="http://schemas.microsoft.com/office/drawing/2014/chart" uri="{C3380CC4-5D6E-409C-BE32-E72D297353CC}">
              <c16:uniqueId val="{00000006-0968-4DF5-960A-A9E501060A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[Sales_Data.xlsx]Pivot_Table!PivotTable1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Product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Pivot_Table!$B$1</c:f>
              <c:strCache>
                <c:ptCount val="1"/>
                <c:pt idx="0">
                  <c:v>Total</c:v>
                </c:pt>
              </c:strCache>
            </c:strRef>
          </c:tx>
          <c:spPr>
            <a:solidFill>
              <a:schemeClr val="accent1"/>
            </a:solidFill>
            <a:ln>
              <a:noFill/>
            </a:ln>
            <a:effectLst/>
          </c:spPr>
          <c:invertIfNegative val="0"/>
          <c:cat>
            <c:strRef>
              <c:f>Pivot_Table!$A$2:$A$6</c:f>
              <c:strCache>
                <c:ptCount val="4"/>
                <c:pt idx="0">
                  <c:v>Laptop</c:v>
                </c:pt>
                <c:pt idx="1">
                  <c:v>Monitor</c:v>
                </c:pt>
                <c:pt idx="2">
                  <c:v>Mouse</c:v>
                </c:pt>
                <c:pt idx="3">
                  <c:v>Keyboard</c:v>
                </c:pt>
              </c:strCache>
            </c:strRef>
          </c:cat>
          <c:val>
            <c:numRef>
              <c:f>Pivot_Table!$B$2:$B$6</c:f>
              <c:numCache>
                <c:formatCode>_(* #,##0_);_(* \(#,##0\);_(* "-"??_);_(@_)</c:formatCode>
                <c:ptCount val="4"/>
                <c:pt idx="0">
                  <c:v>1800000</c:v>
                </c:pt>
                <c:pt idx="1">
                  <c:v>360000</c:v>
                </c:pt>
                <c:pt idx="2">
                  <c:v>225000</c:v>
                </c:pt>
                <c:pt idx="3">
                  <c:v>125000</c:v>
                </c:pt>
              </c:numCache>
            </c:numRef>
          </c:val>
          <c:extLst>
            <c:ext xmlns:c16="http://schemas.microsoft.com/office/drawing/2014/chart" uri="{C3380CC4-5D6E-409C-BE32-E72D297353CC}">
              <c16:uniqueId val="{00000000-56ED-4016-9408-CA7789277E3E}"/>
            </c:ext>
          </c:extLst>
        </c:ser>
        <c:dLbls>
          <c:showLegendKey val="0"/>
          <c:showVal val="0"/>
          <c:showCatName val="0"/>
          <c:showSerName val="0"/>
          <c:showPercent val="0"/>
          <c:showBubbleSize val="0"/>
        </c:dLbls>
        <c:gapWidth val="219"/>
        <c:overlap val="-27"/>
        <c:axId val="502984624"/>
        <c:axId val="600653872"/>
      </c:barChart>
      <c:catAx>
        <c:axId val="502984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53872"/>
        <c:crosses val="autoZero"/>
        <c:auto val="1"/>
        <c:lblAlgn val="ctr"/>
        <c:lblOffset val="100"/>
        <c:noMultiLvlLbl val="0"/>
      </c:catAx>
      <c:valAx>
        <c:axId val="600653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98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Pivot_Table!$B$36</c:f>
              <c:strCache>
                <c:ptCount val="1"/>
                <c:pt idx="0">
                  <c:v>Total</c:v>
                </c:pt>
              </c:strCache>
            </c:strRef>
          </c:tx>
          <c:spPr>
            <a:solidFill>
              <a:schemeClr val="accent1"/>
            </a:solidFill>
            <a:ln>
              <a:noFill/>
            </a:ln>
            <a:effectLst/>
          </c:spPr>
          <c:invertIfNegative val="0"/>
          <c:cat>
            <c:strRef>
              <c:f>Pivot_Table!$A$37:$A$40</c:f>
              <c:strCache>
                <c:ptCount val="3"/>
                <c:pt idx="0">
                  <c:v>Sarah</c:v>
                </c:pt>
                <c:pt idx="1">
                  <c:v>John</c:v>
                </c:pt>
                <c:pt idx="2">
                  <c:v>Mike</c:v>
                </c:pt>
              </c:strCache>
            </c:strRef>
          </c:cat>
          <c:val>
            <c:numRef>
              <c:f>Pivot_Table!$B$37:$B$40</c:f>
              <c:numCache>
                <c:formatCode>General</c:formatCode>
                <c:ptCount val="3"/>
                <c:pt idx="0">
                  <c:v>1275000</c:v>
                </c:pt>
                <c:pt idx="1">
                  <c:v>975000</c:v>
                </c:pt>
                <c:pt idx="2">
                  <c:v>260000</c:v>
                </c:pt>
              </c:numCache>
            </c:numRef>
          </c:val>
          <c:extLst>
            <c:ext xmlns:c16="http://schemas.microsoft.com/office/drawing/2014/chart" uri="{C3380CC4-5D6E-409C-BE32-E72D297353CC}">
              <c16:uniqueId val="{00000000-9DD5-43C1-B3D2-462941A419D2}"/>
            </c:ext>
          </c:extLst>
        </c:ser>
        <c:dLbls>
          <c:showLegendKey val="0"/>
          <c:showVal val="0"/>
          <c:showCatName val="0"/>
          <c:showSerName val="0"/>
          <c:showPercent val="0"/>
          <c:showBubbleSize val="0"/>
        </c:dLbls>
        <c:gapWidth val="182"/>
        <c:axId val="389252367"/>
        <c:axId val="537704719"/>
      </c:barChart>
      <c:catAx>
        <c:axId val="38925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04719"/>
        <c:crosses val="autoZero"/>
        <c:auto val="1"/>
        <c:lblAlgn val="ctr"/>
        <c:lblOffset val="100"/>
        <c:noMultiLvlLbl val="0"/>
      </c:catAx>
      <c:valAx>
        <c:axId val="5377047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5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147638</xdr:colOff>
      <xdr:row>0</xdr:row>
      <xdr:rowOff>166687</xdr:rowOff>
    </xdr:from>
    <xdr:to>
      <xdr:col>8</xdr:col>
      <xdr:colOff>314326</xdr:colOff>
      <xdr:row>15</xdr:row>
      <xdr:rowOff>52387</xdr:rowOff>
    </xdr:to>
    <xdr:graphicFrame macro="">
      <xdr:nvGraphicFramePr>
        <xdr:cNvPr id="3" name="Chart 2">
          <a:extLst>
            <a:ext uri="{FF2B5EF4-FFF2-40B4-BE49-F238E27FC236}">
              <a16:creationId xmlns:a16="http://schemas.microsoft.com/office/drawing/2014/main" id="{7EC9C101-CB06-4597-BF39-91C745397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138112</xdr:colOff>
      <xdr:row>17</xdr:row>
      <xdr:rowOff>161925</xdr:rowOff>
    </xdr:from>
    <xdr:to>
      <xdr:col>8</xdr:col>
      <xdr:colOff>228600</xdr:colOff>
      <xdr:row>29</xdr:row>
      <xdr:rowOff>52387</xdr:rowOff>
    </xdr:to>
    <xdr:graphicFrame macro="">
      <xdr:nvGraphicFramePr>
        <xdr:cNvPr id="2" name="Chart 1">
          <a:extLst>
            <a:ext uri="{FF2B5EF4-FFF2-40B4-BE49-F238E27FC236}">
              <a16:creationId xmlns:a16="http://schemas.microsoft.com/office/drawing/2014/main" id="{38950949-8599-45F5-9463-D0207C2CE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14287</xdr:colOff>
      <xdr:row>33</xdr:row>
      <xdr:rowOff>180974</xdr:rowOff>
    </xdr:from>
    <xdr:to>
      <xdr:col>8</xdr:col>
      <xdr:colOff>485775</xdr:colOff>
      <xdr:row>44</xdr:row>
      <xdr:rowOff>190499</xdr:rowOff>
    </xdr:to>
    <xdr:graphicFrame macro="">
      <xdr:nvGraphicFramePr>
        <xdr:cNvPr id="4" name="Chart 3">
          <a:extLst>
            <a:ext uri="{FF2B5EF4-FFF2-40B4-BE49-F238E27FC236}">
              <a16:creationId xmlns:a16="http://schemas.microsoft.com/office/drawing/2014/main" id="{2CA062BE-FC07-44E4-AECC-DD01B3958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233363</xdr:colOff>
      <xdr:row>46</xdr:row>
      <xdr:rowOff>161925</xdr:rowOff>
    </xdr:from>
    <xdr:to>
      <xdr:col>9</xdr:col>
      <xdr:colOff>561976</xdr:colOff>
      <xdr:row>59</xdr:row>
      <xdr:rowOff>109537</xdr:rowOff>
    </xdr:to>
    <xdr:graphicFrame macro="">
      <xdr:nvGraphicFramePr>
        <xdr:cNvPr id="5" name="Chart 4">
          <a:extLst>
            <a:ext uri="{FF2B5EF4-FFF2-40B4-BE49-F238E27FC236}">
              <a16:creationId xmlns:a16="http://schemas.microsoft.com/office/drawing/2014/main" id="{D6B89224-3DF5-430D-94CB-57DC1A53C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333375</xdr:colOff>
      <xdr:row>7</xdr:row>
      <xdr:rowOff>9525</xdr:rowOff>
    </xdr:from>
    <xdr:to>
      <xdr:col>12</xdr:col>
      <xdr:colOff>71438</xdr:colOff>
      <xdr:row>20</xdr:row>
      <xdr:rowOff>29766</xdr:rowOff>
    </xdr:to>
    <xdr:graphicFrame macro="">
      <xdr:nvGraphicFramePr>
        <xdr:cNvPr id="4" name="Chart 3">
          <a:extLst>
            <a:ext uri="{FF2B5EF4-FFF2-40B4-BE49-F238E27FC236}">
              <a16:creationId xmlns:a16="http://schemas.microsoft.com/office/drawing/2014/main" id="{EA07C2EA-FA9D-44AD-A18E-C0A8FBA59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333374</xdr:colOff>
      <xdr:row>20</xdr:row>
      <xdr:rowOff>35028</xdr:rowOff>
    </xdr:from>
    <xdr:to>
      <xdr:col>12</xdr:col>
      <xdr:colOff>67349</xdr:colOff>
      <xdr:row>31</xdr:row>
      <xdr:rowOff>18954</xdr:rowOff>
    </xdr:to>
    <xdr:graphicFrame macro="">
      <xdr:nvGraphicFramePr>
        <xdr:cNvPr id="6" name="Chart 5">
          <a:extLst>
            <a:ext uri="{FF2B5EF4-FFF2-40B4-BE49-F238E27FC236}">
              <a16:creationId xmlns:a16="http://schemas.microsoft.com/office/drawing/2014/main" id="{176F05D1-09E7-4B74-BE6D-67DB0AC6C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xdr:row>
      <xdr:rowOff>9525</xdr:rowOff>
    </xdr:from>
    <xdr:to>
      <xdr:col>4</xdr:col>
      <xdr:colOff>419100</xdr:colOff>
      <xdr:row>20</xdr:row>
      <xdr:rowOff>19050</xdr:rowOff>
    </xdr:to>
    <xdr:graphicFrame macro="">
      <xdr:nvGraphicFramePr>
        <xdr:cNvPr id="8" name="Chart 7">
          <a:extLst>
            <a:ext uri="{FF2B5EF4-FFF2-40B4-BE49-F238E27FC236}">
              <a16:creationId xmlns:a16="http://schemas.microsoft.com/office/drawing/2014/main" id="{262B1B98-7CE4-443E-802E-706DDEE21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20</xdr:row>
      <xdr:rowOff>19050</xdr:rowOff>
    </xdr:from>
    <xdr:to>
      <xdr:col>4</xdr:col>
      <xdr:colOff>419101</xdr:colOff>
      <xdr:row>31</xdr:row>
      <xdr:rowOff>28575</xdr:rowOff>
    </xdr:to>
    <xdr:graphicFrame macro="">
      <xdr:nvGraphicFramePr>
        <xdr:cNvPr id="11" name="Chart 10">
          <a:extLst>
            <a:ext uri="{FF2B5EF4-FFF2-40B4-BE49-F238E27FC236}">
              <a16:creationId xmlns:a16="http://schemas.microsoft.com/office/drawing/2014/main" id="{B7CE328E-B56C-46D1-814A-4FB3D334E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89297</xdr:colOff>
      <xdr:row>7</xdr:row>
      <xdr:rowOff>16669</xdr:rowOff>
    </xdr:from>
    <xdr:to>
      <xdr:col>14</xdr:col>
      <xdr:colOff>1</xdr:colOff>
      <xdr:row>14</xdr:row>
      <xdr:rowOff>148830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713B6B78-C6A9-4793-AA5D-978FB7926F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11641" y="2040732"/>
              <a:ext cx="1131094" cy="1486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431602</xdr:colOff>
      <xdr:row>7</xdr:row>
      <xdr:rowOff>16670</xdr:rowOff>
    </xdr:from>
    <xdr:to>
      <xdr:col>6</xdr:col>
      <xdr:colOff>297657</xdr:colOff>
      <xdr:row>14</xdr:row>
      <xdr:rowOff>89298</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9F8B2174-27D7-4E26-818D-409FA368278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872383" y="2040733"/>
              <a:ext cx="1086446" cy="1426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8.169551041668" createdVersion="6" refreshedVersion="6" minRefreshableVersion="3" recordCount="10" xr:uid="{8EA11EDE-B280-4304-809B-CC98E0980E49}">
  <cacheSource type="worksheet">
    <worksheetSource ref="A1:J11" sheet="Sales_Data"/>
  </cacheSource>
  <cacheFields count="10">
    <cacheField name="Order_ID" numFmtId="0">
      <sharedItems containsSemiMixedTypes="0" containsString="0" containsNumber="1" containsInteger="1" minValue="1001" maxValue="1010"/>
    </cacheField>
    <cacheField name="Customer" numFmtId="0">
      <sharedItems/>
    </cacheField>
    <cacheField name="Region" numFmtId="0">
      <sharedItems count="4">
        <s v="West"/>
        <s v="East"/>
        <s v="North"/>
        <s v="South"/>
      </sharedItems>
    </cacheField>
    <cacheField name="Product" numFmtId="0">
      <sharedItems count="4">
        <s v="Laptop"/>
        <s v="Mouse"/>
        <s v="Keyboard"/>
        <s v="Monitor"/>
      </sharedItems>
    </cacheField>
    <cacheField name="Units" numFmtId="0">
      <sharedItems containsSemiMixedTypes="0" containsString="0" containsNumber="1" containsInteger="1" minValue="1" maxValue="6" count="6">
        <n v="2"/>
        <n v="5"/>
        <n v="3"/>
        <n v="1"/>
        <n v="4"/>
        <n v="6"/>
      </sharedItems>
    </cacheField>
    <cacheField name="Unit_price" numFmtId="0">
      <sharedItems containsSemiMixedTypes="0" containsString="0" containsNumber="1" containsInteger="1" minValue="15000" maxValue="450000" count="4">
        <n v="450000"/>
        <n v="15000"/>
        <n v="25000"/>
        <n v="120000"/>
      </sharedItems>
    </cacheField>
    <cacheField name="Salesperson" numFmtId="0">
      <sharedItems count="3">
        <s v="Sarah"/>
        <s v="John"/>
        <s v="Mike"/>
      </sharedItems>
    </cacheField>
    <cacheField name="Total_Sales" numFmtId="0">
      <sharedItems containsSemiMixedTypes="0" containsString="0" containsNumber="1" containsInteger="1" minValue="50000" maxValue="900000"/>
    </cacheField>
    <cacheField name="Performance" numFmtId="0">
      <sharedItems count="2">
        <s v="High"/>
        <s v="Low"/>
      </sharedItems>
    </cacheField>
    <cacheField name="Bonus" numFmtId="0">
      <sharedItems containsSemiMixedTypes="0" containsString="0" containsNumber="1" containsInteger="1" minValue="30000" maxValue="50000"/>
    </cacheField>
  </cacheFields>
  <extLst>
    <ext xmlns:x14="http://schemas.microsoft.com/office/spreadsheetml/2009/9/main" uri="{725AE2AE-9491-48be-B2B4-4EB974FC3084}">
      <x14:pivotCacheDefinition pivotCacheId="1750352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s v="David"/>
    <x v="0"/>
    <x v="0"/>
    <x v="0"/>
    <x v="0"/>
    <x v="0"/>
    <n v="900000"/>
    <x v="0"/>
    <n v="50000"/>
  </r>
  <r>
    <n v="1002"/>
    <s v="Grace"/>
    <x v="1"/>
    <x v="1"/>
    <x v="1"/>
    <x v="1"/>
    <x v="1"/>
    <n v="75000"/>
    <x v="1"/>
    <n v="40000"/>
  </r>
  <r>
    <n v="1003"/>
    <s v="Daniel"/>
    <x v="2"/>
    <x v="2"/>
    <x v="2"/>
    <x v="2"/>
    <x v="0"/>
    <n v="75000"/>
    <x v="1"/>
    <n v="50000"/>
  </r>
  <r>
    <n v="1004"/>
    <s v="Esther"/>
    <x v="0"/>
    <x v="3"/>
    <x v="3"/>
    <x v="3"/>
    <x v="2"/>
    <n v="120000"/>
    <x v="1"/>
    <n v="30000"/>
  </r>
  <r>
    <n v="1005"/>
    <s v="James"/>
    <x v="3"/>
    <x v="0"/>
    <x v="3"/>
    <x v="0"/>
    <x v="1"/>
    <n v="450000"/>
    <x v="0"/>
    <n v="40000"/>
  </r>
  <r>
    <n v="1006"/>
    <s v="Ruth"/>
    <x v="1"/>
    <x v="1"/>
    <x v="4"/>
    <x v="1"/>
    <x v="0"/>
    <n v="60000"/>
    <x v="1"/>
    <n v="50000"/>
  </r>
  <r>
    <n v="1007"/>
    <s v="Samuel"/>
    <x v="2"/>
    <x v="2"/>
    <x v="0"/>
    <x v="2"/>
    <x v="2"/>
    <n v="50000"/>
    <x v="1"/>
    <n v="30000"/>
  </r>
  <r>
    <n v="1008"/>
    <s v="Joy"/>
    <x v="3"/>
    <x v="3"/>
    <x v="0"/>
    <x v="3"/>
    <x v="0"/>
    <n v="240000"/>
    <x v="0"/>
    <n v="50000"/>
  </r>
  <r>
    <n v="1009"/>
    <s v="Michael"/>
    <x v="0"/>
    <x v="0"/>
    <x v="3"/>
    <x v="0"/>
    <x v="1"/>
    <n v="450000"/>
    <x v="0"/>
    <n v="40000"/>
  </r>
  <r>
    <n v="1010"/>
    <s v="Peace"/>
    <x v="1"/>
    <x v="1"/>
    <x v="5"/>
    <x v="1"/>
    <x v="2"/>
    <n v="90000"/>
    <x v="1"/>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3C64D5-B0F2-434E-9023-E05CB35C1D84}"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0:B54" firstHeaderRow="1" firstDataRow="1" firstDataCol="1"/>
  <pivotFields count="10">
    <pivotField showAll="0"/>
    <pivotField showAll="0"/>
    <pivotField showAll="0">
      <items count="5">
        <item x="1"/>
        <item x="2"/>
        <item x="3"/>
        <item x="0"/>
        <item t="default"/>
      </items>
    </pivotField>
    <pivotField showAll="0">
      <items count="5">
        <item x="2"/>
        <item x="0"/>
        <item x="3"/>
        <item x="1"/>
        <item t="default"/>
      </items>
    </pivotField>
    <pivotField dataField="1" showAll="0">
      <items count="7">
        <item x="3"/>
        <item x="0"/>
        <item x="2"/>
        <item x="4"/>
        <item x="1"/>
        <item x="5"/>
        <item t="default"/>
      </items>
    </pivotField>
    <pivotField showAll="0" countASubtotal="1">
      <items count="5">
        <item x="1"/>
        <item x="2"/>
        <item x="3"/>
        <item x="0"/>
        <item t="countA"/>
      </items>
    </pivotField>
    <pivotField axis="axisRow" showAll="0">
      <items count="4">
        <item x="1"/>
        <item x="2"/>
        <item x="0"/>
        <item t="default"/>
      </items>
    </pivotField>
    <pivotField showAll="0"/>
    <pivotField showAll="0"/>
    <pivotField showAll="0"/>
  </pivotFields>
  <rowFields count="1">
    <field x="6"/>
  </rowFields>
  <rowItems count="4">
    <i>
      <x/>
    </i>
    <i>
      <x v="1"/>
    </i>
    <i>
      <x v="2"/>
    </i>
    <i t="grand">
      <x/>
    </i>
  </rowItems>
  <colItems count="1">
    <i/>
  </colItems>
  <dataFields count="1">
    <dataField name="Count of Units" fld="4" subtotal="count" baseField="6"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CC873C-9787-4E48-959D-C08E346AED44}"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6:B40" firstHeaderRow="1" firstDataRow="1" firstDataCol="1"/>
  <pivotFields count="10">
    <pivotField showAll="0"/>
    <pivotField showAll="0"/>
    <pivotField showAll="0">
      <items count="5">
        <item x="1"/>
        <item x="2"/>
        <item x="3"/>
        <item x="0"/>
        <item t="default"/>
      </items>
    </pivotField>
    <pivotField showAll="0">
      <items count="5">
        <item x="2"/>
        <item x="0"/>
        <item x="3"/>
        <item x="1"/>
        <item t="default"/>
      </items>
    </pivotField>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showAll="0">
      <items count="3">
        <item x="0"/>
        <item x="1"/>
        <item t="default"/>
      </items>
    </pivotField>
    <pivotField showAll="0"/>
  </pivotFields>
  <rowFields count="1">
    <field x="6"/>
  </rowFields>
  <rowItems count="4">
    <i>
      <x v="2"/>
    </i>
    <i>
      <x/>
    </i>
    <i>
      <x v="1"/>
    </i>
    <i t="grand">
      <x/>
    </i>
  </rowItems>
  <colItems count="1">
    <i/>
  </colItems>
  <dataFields count="1">
    <dataField name="Sum of Total_Sales" fld="7" baseField="0" baseItem="174054028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214521-47F8-4A0E-AAD6-8ED7F3F02A0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0:B25" firstHeaderRow="1" firstDataRow="1" firstDataCol="1"/>
  <pivotFields count="1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pivotField showAll="0"/>
    <pivotField showAll="0">
      <items count="4">
        <item x="1"/>
        <item x="2"/>
        <item x="0"/>
        <item t="default"/>
      </items>
    </pivotField>
    <pivotField dataField="1" showAll="0"/>
    <pivotField showAll="0"/>
    <pivotField showAll="0"/>
  </pivotFields>
  <rowFields count="1">
    <field x="2"/>
  </rowFields>
  <rowItems count="5">
    <i>
      <x v="3"/>
    </i>
    <i>
      <x v="2"/>
    </i>
    <i>
      <x/>
    </i>
    <i>
      <x v="1"/>
    </i>
    <i t="grand">
      <x/>
    </i>
  </rowItems>
  <colItems count="1">
    <i/>
  </colItems>
  <dataFields count="1">
    <dataField name="Regional Performance" fld="7" showDataAs="percentOfTotal" baseField="2" baseItem="0" numFmtId="1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3"/>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4" format="9">
      <pivotArea type="data" outline="0" fieldPosition="0">
        <references count="2">
          <reference field="4294967294" count="1" selected="0">
            <x v="0"/>
          </reference>
          <reference field="2" count="1" selected="0">
            <x v="0"/>
          </reference>
        </references>
      </pivotArea>
    </chartFormat>
    <chartFormat chart="4" format="10">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3720FE-CD48-4429-9BAF-A0205CD95BA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6" firstHeaderRow="1" firstDataRow="1" firstDataCol="1"/>
  <pivotFields count="10">
    <pivotField showAll="0"/>
    <pivotField showAll="0"/>
    <pivotField showAll="0">
      <items count="5">
        <item x="1"/>
        <item x="2"/>
        <item x="3"/>
        <item x="0"/>
        <item t="default"/>
      </items>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s>
  <rowFields count="1">
    <field x="3"/>
  </rowFields>
  <rowItems count="5">
    <i>
      <x v="1"/>
    </i>
    <i>
      <x v="2"/>
    </i>
    <i>
      <x v="3"/>
    </i>
    <i>
      <x/>
    </i>
    <i t="grand">
      <x/>
    </i>
  </rowItems>
  <colItems count="1">
    <i/>
  </colItems>
  <dataFields count="1">
    <dataField name="Sum of Total_Sales" fld="7" baseField="0" baseItem="0" numFmtId="164"/>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8448B5-821B-42E3-A468-714C1ECC6856}" sourceName="Region">
  <pivotTables>
    <pivotTable tabId="4" name="PivotTable1"/>
    <pivotTable tabId="4" name="PivotTable2"/>
    <pivotTable tabId="4" name="PivotTable3"/>
    <pivotTable tabId="4" name="PivotTable4"/>
  </pivotTables>
  <data>
    <tabular pivotCacheId="1750352766">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235A809-31D4-40BF-A8CF-41CEF7DAF6F0}" sourceName="Product">
  <pivotTables>
    <pivotTable tabId="4" name="PivotTable1"/>
    <pivotTable tabId="4" name="PivotTable2"/>
    <pivotTable tabId="4" name="PivotTable3"/>
    <pivotTable tabId="4" name="PivotTable4"/>
  </pivotTables>
  <data>
    <tabular pivotCacheId="1750352766">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96AB6A0-9A2D-49A7-982D-D030BB5601DC}" cache="Slicer_Region" caption="Region" rowHeight="241300"/>
  <slicer name="Product" xr10:uid="{D340BC95-9518-4FB8-9152-94E0BF56608D}"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1740-5588-4734-A486-23B66B7AF66A}">
  <dimension ref="A1:K11"/>
  <sheetViews>
    <sheetView workbookViewId="0">
      <selection activeCell="J1" sqref="J1"/>
    </sheetView>
  </sheetViews>
  <sheetFormatPr defaultRowHeight="15" x14ac:dyDescent="0.25"/>
  <cols>
    <col min="1" max="1" width="12.28515625" customWidth="1"/>
    <col min="2" max="2" width="12" customWidth="1"/>
    <col min="3" max="4" width="11.42578125" customWidth="1"/>
    <col min="5" max="5" width="12.42578125" customWidth="1"/>
    <col min="6" max="9" width="13" customWidth="1"/>
    <col min="10" max="10" width="19" customWidth="1"/>
  </cols>
  <sheetData>
    <row r="1" spans="1:11" x14ac:dyDescent="0.25">
      <c r="A1" t="s">
        <v>0</v>
      </c>
      <c r="B1" t="s">
        <v>1</v>
      </c>
      <c r="C1" t="s">
        <v>2</v>
      </c>
      <c r="D1" t="s">
        <v>3</v>
      </c>
      <c r="E1" t="s">
        <v>4</v>
      </c>
      <c r="F1" t="s">
        <v>5</v>
      </c>
      <c r="G1" t="s">
        <v>6</v>
      </c>
      <c r="H1" t="s">
        <v>28</v>
      </c>
      <c r="I1" t="s">
        <v>30</v>
      </c>
      <c r="J1" t="s">
        <v>36</v>
      </c>
    </row>
    <row r="2" spans="1:11" x14ac:dyDescent="0.25">
      <c r="A2">
        <v>1001</v>
      </c>
      <c r="B2" t="s">
        <v>18</v>
      </c>
      <c r="C2" t="s">
        <v>14</v>
      </c>
      <c r="D2" t="s">
        <v>10</v>
      </c>
      <c r="E2">
        <v>2</v>
      </c>
      <c r="F2">
        <v>450000</v>
      </c>
      <c r="G2" t="s">
        <v>7</v>
      </c>
      <c r="H2">
        <f t="shared" ref="H2:H11" si="0">E2*F2</f>
        <v>900000</v>
      </c>
      <c r="I2" t="str">
        <f>IF(H2&gt;200000,"High","Low")</f>
        <v>High</v>
      </c>
      <c r="J2">
        <f>VLOOKUP(G2,Salesperson_Bonus!A:B,2,FALSE)</f>
        <v>50000</v>
      </c>
    </row>
    <row r="3" spans="1:11" x14ac:dyDescent="0.25">
      <c r="A3">
        <v>1002</v>
      </c>
      <c r="B3" t="s">
        <v>19</v>
      </c>
      <c r="C3" t="s">
        <v>15</v>
      </c>
      <c r="D3" t="s">
        <v>11</v>
      </c>
      <c r="E3">
        <v>5</v>
      </c>
      <c r="F3">
        <v>15000</v>
      </c>
      <c r="G3" t="s">
        <v>8</v>
      </c>
      <c r="H3">
        <f t="shared" si="0"/>
        <v>75000</v>
      </c>
      <c r="I3" t="str">
        <f t="shared" ref="I3:I11" si="1">IF(H3&gt;200000,"High","Low")</f>
        <v>Low</v>
      </c>
      <c r="J3">
        <f>VLOOKUP(G3,Salesperson_Bonus!A:B,2,FALSE)</f>
        <v>40000</v>
      </c>
    </row>
    <row r="4" spans="1:11" x14ac:dyDescent="0.25">
      <c r="A4">
        <v>1003</v>
      </c>
      <c r="B4" t="s">
        <v>20</v>
      </c>
      <c r="C4" t="s">
        <v>16</v>
      </c>
      <c r="D4" t="s">
        <v>12</v>
      </c>
      <c r="E4">
        <v>3</v>
      </c>
      <c r="F4">
        <v>25000</v>
      </c>
      <c r="G4" t="s">
        <v>7</v>
      </c>
      <c r="H4">
        <f t="shared" si="0"/>
        <v>75000</v>
      </c>
      <c r="I4" t="str">
        <f t="shared" si="1"/>
        <v>Low</v>
      </c>
      <c r="J4">
        <f>VLOOKUP(G4,Salesperson_Bonus!A:B,2,FALSE)</f>
        <v>50000</v>
      </c>
    </row>
    <row r="5" spans="1:11" x14ac:dyDescent="0.25">
      <c r="A5">
        <v>1004</v>
      </c>
      <c r="B5" t="s">
        <v>21</v>
      </c>
      <c r="C5" t="s">
        <v>14</v>
      </c>
      <c r="D5" t="s">
        <v>13</v>
      </c>
      <c r="E5">
        <v>1</v>
      </c>
      <c r="F5">
        <v>120000</v>
      </c>
      <c r="G5" t="s">
        <v>9</v>
      </c>
      <c r="H5">
        <f t="shared" si="0"/>
        <v>120000</v>
      </c>
      <c r="I5" t="str">
        <f t="shared" si="1"/>
        <v>Low</v>
      </c>
      <c r="J5">
        <f>VLOOKUP(G5,Salesperson_Bonus!A:B,2,FALSE)</f>
        <v>30000</v>
      </c>
    </row>
    <row r="6" spans="1:11" x14ac:dyDescent="0.25">
      <c r="A6">
        <v>1005</v>
      </c>
      <c r="B6" t="s">
        <v>22</v>
      </c>
      <c r="C6" t="s">
        <v>17</v>
      </c>
      <c r="D6" t="s">
        <v>10</v>
      </c>
      <c r="E6">
        <v>1</v>
      </c>
      <c r="F6">
        <v>450000</v>
      </c>
      <c r="G6" t="s">
        <v>8</v>
      </c>
      <c r="H6">
        <f t="shared" si="0"/>
        <v>450000</v>
      </c>
      <c r="I6" t="str">
        <f t="shared" si="1"/>
        <v>High</v>
      </c>
      <c r="J6">
        <f>VLOOKUP(G6,Salesperson_Bonus!A:B,2,FALSE)</f>
        <v>40000</v>
      </c>
    </row>
    <row r="7" spans="1:11" x14ac:dyDescent="0.25">
      <c r="A7">
        <v>1006</v>
      </c>
      <c r="B7" t="s">
        <v>23</v>
      </c>
      <c r="C7" t="s">
        <v>15</v>
      </c>
      <c r="D7" t="s">
        <v>11</v>
      </c>
      <c r="E7">
        <v>4</v>
      </c>
      <c r="F7">
        <v>15000</v>
      </c>
      <c r="G7" t="s">
        <v>7</v>
      </c>
      <c r="H7">
        <f t="shared" si="0"/>
        <v>60000</v>
      </c>
      <c r="I7" t="str">
        <f t="shared" si="1"/>
        <v>Low</v>
      </c>
      <c r="J7">
        <f>VLOOKUP(G7,Salesperson_Bonus!A:B,2,FALSE)</f>
        <v>50000</v>
      </c>
      <c r="K7" t="s">
        <v>29</v>
      </c>
    </row>
    <row r="8" spans="1:11" x14ac:dyDescent="0.25">
      <c r="A8">
        <v>1007</v>
      </c>
      <c r="B8" t="s">
        <v>24</v>
      </c>
      <c r="C8" t="s">
        <v>16</v>
      </c>
      <c r="D8" t="s">
        <v>12</v>
      </c>
      <c r="E8">
        <v>2</v>
      </c>
      <c r="F8">
        <v>25000</v>
      </c>
      <c r="G8" t="s">
        <v>9</v>
      </c>
      <c r="H8">
        <f t="shared" si="0"/>
        <v>50000</v>
      </c>
      <c r="I8" t="str">
        <f t="shared" si="1"/>
        <v>Low</v>
      </c>
      <c r="J8">
        <f>VLOOKUP(G8,Salesperson_Bonus!A:B,2,FALSE)</f>
        <v>30000</v>
      </c>
    </row>
    <row r="9" spans="1:11" x14ac:dyDescent="0.25">
      <c r="A9">
        <v>1008</v>
      </c>
      <c r="B9" t="s">
        <v>25</v>
      </c>
      <c r="C9" t="s">
        <v>17</v>
      </c>
      <c r="D9" t="s">
        <v>13</v>
      </c>
      <c r="E9">
        <v>2</v>
      </c>
      <c r="F9">
        <v>120000</v>
      </c>
      <c r="G9" t="s">
        <v>7</v>
      </c>
      <c r="H9">
        <f t="shared" si="0"/>
        <v>240000</v>
      </c>
      <c r="I9" t="str">
        <f t="shared" si="1"/>
        <v>High</v>
      </c>
      <c r="J9">
        <f>VLOOKUP(G9,Salesperson_Bonus!A:B,2,FALSE)</f>
        <v>50000</v>
      </c>
    </row>
    <row r="10" spans="1:11" x14ac:dyDescent="0.25">
      <c r="A10">
        <v>1009</v>
      </c>
      <c r="B10" t="s">
        <v>26</v>
      </c>
      <c r="C10" t="s">
        <v>14</v>
      </c>
      <c r="D10" t="s">
        <v>10</v>
      </c>
      <c r="E10">
        <v>1</v>
      </c>
      <c r="F10">
        <v>450000</v>
      </c>
      <c r="G10" t="s">
        <v>8</v>
      </c>
      <c r="H10">
        <f t="shared" si="0"/>
        <v>450000</v>
      </c>
      <c r="I10" t="str">
        <f t="shared" si="1"/>
        <v>High</v>
      </c>
      <c r="J10">
        <f>VLOOKUP(G10,Salesperson_Bonus!A:B,2,FALSE)</f>
        <v>40000</v>
      </c>
    </row>
    <row r="11" spans="1:11" x14ac:dyDescent="0.25">
      <c r="A11">
        <v>1010</v>
      </c>
      <c r="B11" t="s">
        <v>27</v>
      </c>
      <c r="C11" t="s">
        <v>15</v>
      </c>
      <c r="D11" t="s">
        <v>11</v>
      </c>
      <c r="E11">
        <v>6</v>
      </c>
      <c r="F11">
        <v>15000</v>
      </c>
      <c r="G11" t="s">
        <v>9</v>
      </c>
      <c r="H11">
        <f t="shared" si="0"/>
        <v>90000</v>
      </c>
      <c r="I11" t="str">
        <f t="shared" si="1"/>
        <v>Low</v>
      </c>
      <c r="J11">
        <f>VLOOKUP(G11,Salesperson_Bonus!A:B,2,FALSE)</f>
        <v>30000</v>
      </c>
    </row>
  </sheetData>
  <conditionalFormatting sqref="H2:H11">
    <cfRule type="cellIs" dxfId="3" priority="3" operator="greaterThan">
      <formula>200000</formula>
    </cfRule>
  </conditionalFormatting>
  <conditionalFormatting sqref="I2:I11">
    <cfRule type="containsText" dxfId="2" priority="2" operator="containsText" text="High">
      <formula>NOT(ISERROR(SEARCH("High",I2)))</formula>
    </cfRule>
    <cfRule type="containsText" dxfId="1" priority="1" operator="containsText" text="low">
      <formula>NOT(ISERROR(SEARCH("low",I2)))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62FC8-28D5-4856-BD54-604E7C5F172E}">
  <dimension ref="A1:B4"/>
  <sheetViews>
    <sheetView workbookViewId="0">
      <selection activeCell="B2" sqref="B2"/>
    </sheetView>
  </sheetViews>
  <sheetFormatPr defaultRowHeight="15" x14ac:dyDescent="0.25"/>
  <cols>
    <col min="1" max="1" width="18.42578125" bestFit="1" customWidth="1"/>
  </cols>
  <sheetData>
    <row r="1" spans="1:2" x14ac:dyDescent="0.25">
      <c r="A1" t="s">
        <v>31</v>
      </c>
      <c r="B1" t="s">
        <v>32</v>
      </c>
    </row>
    <row r="2" spans="1:2" x14ac:dyDescent="0.25">
      <c r="A2" t="s">
        <v>7</v>
      </c>
      <c r="B2">
        <v>50000</v>
      </c>
    </row>
    <row r="3" spans="1:2" x14ac:dyDescent="0.25">
      <c r="A3" t="s">
        <v>8</v>
      </c>
      <c r="B3">
        <v>40000</v>
      </c>
    </row>
    <row r="4" spans="1:2" x14ac:dyDescent="0.25">
      <c r="A4" t="s">
        <v>9</v>
      </c>
      <c r="B4">
        <v>30000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CDBE-E73F-456F-95D2-1D89EE8C479C}">
  <dimension ref="A1:B54"/>
  <sheetViews>
    <sheetView topLeftCell="A42" workbookViewId="0">
      <selection activeCell="J38" sqref="J38"/>
    </sheetView>
  </sheetViews>
  <sheetFormatPr defaultRowHeight="15" x14ac:dyDescent="0.25"/>
  <cols>
    <col min="1" max="1" width="13.140625" bestFit="1" customWidth="1"/>
    <col min="2" max="2" width="13.85546875" bestFit="1" customWidth="1"/>
    <col min="3" max="3" width="6" bestFit="1" customWidth="1"/>
    <col min="4" max="5" width="7" bestFit="1" customWidth="1"/>
    <col min="6" max="6" width="11.28515625" bestFit="1" customWidth="1"/>
  </cols>
  <sheetData>
    <row r="1" spans="1:2" x14ac:dyDescent="0.25">
      <c r="A1" s="1" t="s">
        <v>33</v>
      </c>
      <c r="B1" t="s">
        <v>35</v>
      </c>
    </row>
    <row r="2" spans="1:2" x14ac:dyDescent="0.25">
      <c r="A2" s="2" t="s">
        <v>10</v>
      </c>
      <c r="B2" s="3">
        <v>1800000</v>
      </c>
    </row>
    <row r="3" spans="1:2" x14ac:dyDescent="0.25">
      <c r="A3" s="2" t="s">
        <v>13</v>
      </c>
      <c r="B3" s="3">
        <v>360000</v>
      </c>
    </row>
    <row r="4" spans="1:2" x14ac:dyDescent="0.25">
      <c r="A4" s="2" t="s">
        <v>11</v>
      </c>
      <c r="B4" s="3">
        <v>225000</v>
      </c>
    </row>
    <row r="5" spans="1:2" x14ac:dyDescent="0.25">
      <c r="A5" s="2" t="s">
        <v>12</v>
      </c>
      <c r="B5" s="3">
        <v>125000</v>
      </c>
    </row>
    <row r="6" spans="1:2" x14ac:dyDescent="0.25">
      <c r="A6" s="2" t="s">
        <v>34</v>
      </c>
      <c r="B6" s="3">
        <v>2510000</v>
      </c>
    </row>
    <row r="20" spans="1:2" x14ac:dyDescent="0.25">
      <c r="A20" s="1" t="s">
        <v>33</v>
      </c>
      <c r="B20" t="s">
        <v>37</v>
      </c>
    </row>
    <row r="21" spans="1:2" x14ac:dyDescent="0.25">
      <c r="A21" s="2" t="s">
        <v>14</v>
      </c>
      <c r="B21" s="5">
        <v>0.58565737051792832</v>
      </c>
    </row>
    <row r="22" spans="1:2" x14ac:dyDescent="0.25">
      <c r="A22" s="2" t="s">
        <v>17</v>
      </c>
      <c r="B22" s="5">
        <v>0.27490039840637448</v>
      </c>
    </row>
    <row r="23" spans="1:2" x14ac:dyDescent="0.25">
      <c r="A23" s="2" t="s">
        <v>15</v>
      </c>
      <c r="B23" s="5">
        <v>8.9641434262948211E-2</v>
      </c>
    </row>
    <row r="24" spans="1:2" x14ac:dyDescent="0.25">
      <c r="A24" s="2" t="s">
        <v>16</v>
      </c>
      <c r="B24" s="5">
        <v>4.9800796812749001E-2</v>
      </c>
    </row>
    <row r="25" spans="1:2" x14ac:dyDescent="0.25">
      <c r="A25" s="2" t="s">
        <v>34</v>
      </c>
      <c r="B25" s="5">
        <v>1</v>
      </c>
    </row>
    <row r="36" spans="1:2" x14ac:dyDescent="0.25">
      <c r="A36" s="1" t="s">
        <v>33</v>
      </c>
      <c r="B36" t="s">
        <v>35</v>
      </c>
    </row>
    <row r="37" spans="1:2" x14ac:dyDescent="0.25">
      <c r="A37" s="2" t="s">
        <v>7</v>
      </c>
      <c r="B37" s="4">
        <v>1275000</v>
      </c>
    </row>
    <row r="38" spans="1:2" x14ac:dyDescent="0.25">
      <c r="A38" s="2" t="s">
        <v>8</v>
      </c>
      <c r="B38" s="4">
        <v>975000</v>
      </c>
    </row>
    <row r="39" spans="1:2" x14ac:dyDescent="0.25">
      <c r="A39" s="2" t="s">
        <v>9</v>
      </c>
      <c r="B39" s="4">
        <v>260000</v>
      </c>
    </row>
    <row r="40" spans="1:2" x14ac:dyDescent="0.25">
      <c r="A40" s="2" t="s">
        <v>34</v>
      </c>
      <c r="B40" s="4">
        <v>2510000</v>
      </c>
    </row>
    <row r="50" spans="1:2" x14ac:dyDescent="0.25">
      <c r="A50" s="1" t="s">
        <v>33</v>
      </c>
      <c r="B50" t="s">
        <v>39</v>
      </c>
    </row>
    <row r="51" spans="1:2" x14ac:dyDescent="0.25">
      <c r="A51" s="2" t="s">
        <v>8</v>
      </c>
      <c r="B51" s="4">
        <v>3</v>
      </c>
    </row>
    <row r="52" spans="1:2" x14ac:dyDescent="0.25">
      <c r="A52" s="2" t="s">
        <v>9</v>
      </c>
      <c r="B52" s="4">
        <v>3</v>
      </c>
    </row>
    <row r="53" spans="1:2" x14ac:dyDescent="0.25">
      <c r="A53" s="2" t="s">
        <v>7</v>
      </c>
      <c r="B53" s="4">
        <v>4</v>
      </c>
    </row>
    <row r="54" spans="1:2" x14ac:dyDescent="0.25">
      <c r="A54" s="2" t="s">
        <v>34</v>
      </c>
      <c r="B54" s="4">
        <v>10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EAD2-003B-4C15-A593-A93004B82D3C}">
  <dimension ref="A1:S14"/>
  <sheetViews>
    <sheetView showGridLines="0" tabSelected="1" zoomScale="65" zoomScaleNormal="64" workbookViewId="0">
      <selection sqref="A1:N9"/>
    </sheetView>
  </sheetViews>
  <sheetFormatPr defaultRowHeight="15" x14ac:dyDescent="0.25"/>
  <sheetData>
    <row r="1" spans="1:19" x14ac:dyDescent="0.25">
      <c r="A1" s="10" t="s">
        <v>38</v>
      </c>
      <c r="B1" s="11"/>
      <c r="C1" s="11"/>
      <c r="D1" s="11"/>
      <c r="E1" s="11"/>
      <c r="F1" s="11"/>
      <c r="G1" s="11"/>
      <c r="H1" s="11"/>
      <c r="I1" s="11"/>
      <c r="J1" s="11"/>
      <c r="K1" s="11"/>
      <c r="L1" s="11"/>
      <c r="M1" s="11"/>
      <c r="N1" s="11"/>
      <c r="O1" s="6"/>
      <c r="P1" s="6"/>
      <c r="Q1" s="6"/>
      <c r="R1" s="6"/>
      <c r="S1" s="6"/>
    </row>
    <row r="2" spans="1:19" x14ac:dyDescent="0.25">
      <c r="A2" s="11"/>
      <c r="B2" s="11"/>
      <c r="C2" s="11"/>
      <c r="D2" s="11"/>
      <c r="E2" s="11"/>
      <c r="F2" s="11"/>
      <c r="G2" s="11"/>
      <c r="H2" s="11"/>
      <c r="I2" s="11"/>
      <c r="J2" s="11"/>
      <c r="K2" s="11"/>
      <c r="L2" s="11"/>
      <c r="M2" s="11"/>
      <c r="N2" s="11"/>
      <c r="O2" s="6"/>
      <c r="P2" s="6"/>
      <c r="Q2" s="6"/>
      <c r="R2" s="6"/>
      <c r="S2" s="6"/>
    </row>
    <row r="3" spans="1:19" ht="26.25" x14ac:dyDescent="0.4">
      <c r="A3" s="11"/>
      <c r="B3" s="11"/>
      <c r="C3" s="11"/>
      <c r="D3" s="11"/>
      <c r="E3" s="11"/>
      <c r="F3" s="11"/>
      <c r="G3" s="11"/>
      <c r="H3" s="11"/>
      <c r="I3" s="11"/>
      <c r="J3" s="11"/>
      <c r="K3" s="11"/>
      <c r="L3" s="11"/>
      <c r="M3" s="11"/>
      <c r="N3" s="11"/>
      <c r="O3" s="9" t="s">
        <v>40</v>
      </c>
      <c r="P3" s="8"/>
      <c r="Q3" s="6"/>
      <c r="R3" s="6"/>
      <c r="S3" s="6"/>
    </row>
    <row r="4" spans="1:19" ht="26.25" x14ac:dyDescent="0.4">
      <c r="A4" s="11"/>
      <c r="B4" s="11"/>
      <c r="C4" s="11"/>
      <c r="D4" s="11"/>
      <c r="E4" s="11"/>
      <c r="F4" s="11"/>
      <c r="G4" s="11"/>
      <c r="H4" s="11"/>
      <c r="I4" s="11"/>
      <c r="J4" s="11"/>
      <c r="K4" s="11"/>
      <c r="L4" s="11"/>
      <c r="M4" s="11"/>
      <c r="N4" s="11"/>
      <c r="O4" s="9" t="s">
        <v>41</v>
      </c>
      <c r="P4" s="6"/>
      <c r="Q4" s="6"/>
      <c r="R4" s="6"/>
      <c r="S4" s="6"/>
    </row>
    <row r="5" spans="1:19" ht="26.25" x14ac:dyDescent="0.4">
      <c r="A5" s="11"/>
      <c r="B5" s="11"/>
      <c r="C5" s="11"/>
      <c r="D5" s="11"/>
      <c r="E5" s="11"/>
      <c r="F5" s="11"/>
      <c r="G5" s="11"/>
      <c r="H5" s="11"/>
      <c r="I5" s="11"/>
      <c r="J5" s="11"/>
      <c r="K5" s="11"/>
      <c r="L5" s="11"/>
      <c r="M5" s="11"/>
      <c r="N5" s="11"/>
      <c r="O5" s="9" t="s">
        <v>42</v>
      </c>
      <c r="P5" s="6"/>
      <c r="Q5" s="6"/>
      <c r="R5" s="6"/>
      <c r="S5" s="6"/>
    </row>
    <row r="6" spans="1:19" ht="26.25" x14ac:dyDescent="0.4">
      <c r="A6" s="11"/>
      <c r="B6" s="11"/>
      <c r="C6" s="11"/>
      <c r="D6" s="11"/>
      <c r="E6" s="11"/>
      <c r="F6" s="11"/>
      <c r="G6" s="11"/>
      <c r="H6" s="11"/>
      <c r="I6" s="11"/>
      <c r="J6" s="11"/>
      <c r="K6" s="11"/>
      <c r="L6" s="11"/>
      <c r="M6" s="11"/>
      <c r="N6" s="11"/>
      <c r="O6" s="9" t="s">
        <v>43</v>
      </c>
      <c r="P6" s="6"/>
      <c r="Q6" s="6"/>
      <c r="R6" s="6"/>
      <c r="S6" s="6"/>
    </row>
    <row r="7" spans="1:19" ht="26.25" x14ac:dyDescent="0.4">
      <c r="A7" s="11"/>
      <c r="B7" s="11"/>
      <c r="C7" s="11"/>
      <c r="D7" s="11"/>
      <c r="E7" s="11"/>
      <c r="F7" s="11"/>
      <c r="G7" s="11"/>
      <c r="H7" s="11"/>
      <c r="I7" s="11"/>
      <c r="J7" s="11"/>
      <c r="K7" s="11"/>
      <c r="L7" s="11"/>
      <c r="M7" s="11"/>
      <c r="N7" s="11"/>
      <c r="O7" s="9" t="s">
        <v>44</v>
      </c>
      <c r="P7" s="6"/>
      <c r="Q7" s="6"/>
      <c r="R7" s="6"/>
      <c r="S7" s="6"/>
    </row>
    <row r="8" spans="1:19" x14ac:dyDescent="0.25">
      <c r="A8" s="6"/>
      <c r="B8" s="6"/>
      <c r="C8" s="6"/>
      <c r="D8" s="6"/>
      <c r="E8" s="6"/>
      <c r="F8" s="6"/>
      <c r="G8" s="6"/>
      <c r="H8" s="6"/>
      <c r="I8" s="6"/>
      <c r="J8" s="6"/>
      <c r="K8" s="6"/>
      <c r="L8" s="6"/>
      <c r="M8" s="6"/>
      <c r="N8" s="6"/>
      <c r="O8" s="6"/>
      <c r="P8" s="6"/>
      <c r="Q8" s="6"/>
      <c r="R8" s="6"/>
      <c r="S8" s="6"/>
    </row>
    <row r="9" spans="1:19" x14ac:dyDescent="0.25">
      <c r="A9" s="6"/>
      <c r="B9" s="6"/>
      <c r="C9" s="6"/>
      <c r="D9" s="6"/>
      <c r="E9" s="6"/>
      <c r="F9" s="6"/>
      <c r="G9" s="6"/>
      <c r="H9" s="6"/>
      <c r="I9" s="6"/>
      <c r="J9" s="6"/>
      <c r="K9" s="6"/>
      <c r="L9" s="6"/>
      <c r="M9" s="6"/>
      <c r="N9" s="6"/>
      <c r="O9" s="6"/>
      <c r="P9" s="6"/>
      <c r="Q9" s="6"/>
      <c r="R9" s="6"/>
      <c r="S9" s="6"/>
    </row>
    <row r="10" spans="1:19" x14ac:dyDescent="0.25">
      <c r="A10" s="6"/>
      <c r="B10" s="6"/>
      <c r="C10" s="6"/>
      <c r="D10" s="6"/>
      <c r="E10" s="6"/>
      <c r="F10" s="6"/>
      <c r="G10" s="6"/>
      <c r="H10" s="6"/>
      <c r="I10" s="6"/>
      <c r="J10" s="6"/>
      <c r="K10" s="6"/>
      <c r="L10" s="6"/>
      <c r="M10" s="6"/>
      <c r="N10" s="6"/>
      <c r="O10" s="6"/>
      <c r="P10" s="6"/>
      <c r="Q10" s="6"/>
      <c r="R10" s="6"/>
      <c r="S10" s="6"/>
    </row>
    <row r="11" spans="1:19" x14ac:dyDescent="0.25">
      <c r="A11" s="6"/>
      <c r="B11" s="6"/>
      <c r="C11" s="6"/>
      <c r="D11" s="6"/>
      <c r="E11" s="6"/>
      <c r="F11" s="6"/>
      <c r="G11" s="6"/>
      <c r="H11" s="6"/>
      <c r="I11" s="6"/>
      <c r="J11" s="6"/>
      <c r="K11" s="6"/>
      <c r="L11" s="6"/>
      <c r="M11" s="6"/>
      <c r="N11" s="6"/>
      <c r="O11" s="6"/>
      <c r="P11" s="6"/>
      <c r="Q11" s="6"/>
      <c r="R11" s="6"/>
      <c r="S11" s="6"/>
    </row>
    <row r="12" spans="1:19" x14ac:dyDescent="0.25">
      <c r="A12" s="6"/>
      <c r="B12" s="6"/>
      <c r="C12" s="6"/>
      <c r="D12" s="6"/>
      <c r="E12" s="6"/>
      <c r="F12" s="6"/>
      <c r="G12" s="6"/>
      <c r="H12" s="6"/>
      <c r="I12" s="6"/>
      <c r="J12" s="6"/>
      <c r="K12" s="6"/>
      <c r="L12" s="6"/>
      <c r="M12" s="6"/>
      <c r="N12" s="6"/>
      <c r="O12" s="6"/>
      <c r="P12" s="6"/>
      <c r="Q12" s="6"/>
      <c r="R12" s="6"/>
      <c r="S12" s="6"/>
    </row>
    <row r="13" spans="1:19" x14ac:dyDescent="0.25">
      <c r="A13" s="6"/>
      <c r="B13" s="6"/>
      <c r="C13" s="6"/>
      <c r="D13" s="6"/>
      <c r="E13" s="6"/>
      <c r="F13" s="6"/>
      <c r="G13" s="6"/>
      <c r="H13" s="6"/>
      <c r="I13" s="6"/>
      <c r="J13" s="6"/>
      <c r="K13" s="6"/>
      <c r="L13" s="6"/>
      <c r="M13" s="6"/>
      <c r="N13" s="6"/>
      <c r="O13" s="6"/>
      <c r="P13" s="6"/>
      <c r="Q13" s="6"/>
      <c r="R13" s="6"/>
      <c r="S13" s="6"/>
    </row>
    <row r="14" spans="1:19" x14ac:dyDescent="0.25">
      <c r="A14" s="6"/>
      <c r="B14" s="6"/>
      <c r="C14" s="6"/>
      <c r="D14" s="6"/>
      <c r="E14" s="6"/>
      <c r="F14" s="6"/>
      <c r="G14" s="6"/>
      <c r="H14" s="6"/>
      <c r="I14" s="6"/>
      <c r="J14" s="6"/>
      <c r="K14" s="6"/>
      <c r="L14" s="6"/>
      <c r="M14" s="6"/>
      <c r="N14" s="7"/>
      <c r="O14" s="6"/>
      <c r="P14" s="6"/>
      <c r="Q14" s="6"/>
      <c r="R14" s="6"/>
      <c r="S14" s="6"/>
    </row>
  </sheetData>
  <mergeCells count="1">
    <mergeCell ref="A1:N7"/>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Salesperson_Bonus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2026-05-15T14:01:02Z</dcterms:created>
  <dcterms:modified xsi:type="dcterms:W3CDTF">2026-05-17T07:53:12Z</dcterms:modified>
</cp:coreProperties>
</file>